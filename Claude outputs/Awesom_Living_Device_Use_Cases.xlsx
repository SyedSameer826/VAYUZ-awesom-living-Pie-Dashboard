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se 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<sst xmlns="http://schemas.openxmlformats.org/spreadsheetml/2006/main" count="356" uniqueCount="193">
  <si>
    <t xml:space="preserve">Device-Wise Use Cases</t>
  </si>
  <si>
    <t xml:space="preserve">Awesom Living Smart Home Platform — Complete Audit</t>
  </si>
  <si>
    <t xml:space="preserve">Generated: September 18, 2026  |  Covers all development sessions (April 2025 — September 2026)</t>
  </si>
  <si>
    <t xml:space="preserve">Total Use Cases</t>
  </si>
  <si>
    <t xml:space="preserve">Device Categories</t>
  </si>
  <si>
    <t xml:space="preserve">Bugs Fixed / Features</t>
  </si>
  <si>
    <t xml:space="preserve">#</t>
  </si>
  <si>
    <t xml:space="preserve">Device</t>
  </si>
  <si>
    <t xml:space="preserve">Use Cases</t>
  </si>
  <si>
    <t xml:space="preserve">GLK Vital Tracker</t>
  </si>
  <si>
    <t xml:space="preserve">Motion Sensor</t>
  </si>
  <si>
    <t xml:space="preserve">Presence Sensor</t>
  </si>
  <si>
    <t xml:space="preserve">Door/Window Contact Sensors</t>
  </si>
  <si>
    <t xml:space="preserve">Emergency Button</t>
  </si>
  <si>
    <t xml:space="preserve">AltumView Sentinare</t>
  </si>
  <si>
    <t xml:space="preserve">CP Plus Camera</t>
  </si>
  <si>
    <t xml:space="preserve">Raspberry Pi Hub</t>
  </si>
  <si>
    <t xml:space="preserve">Cross-Device / Platform</t>
  </si>
  <si>
    <t xml:space="preserve">Total</t>
  </si>
  <si>
    <t xml:space="preserve">Confidential | VAYUZ Technologies, Noida</t>
  </si>
  <si>
    <t xml:space="preserve">Awesom Living — Device Use Cases (Complete)</t>
  </si>
  <si>
    <t xml:space="preserve">Device Category</t>
  </si>
  <si>
    <t xml:space="preserve">Use Case</t>
  </si>
  <si>
    <t xml:space="preserve">Description</t>
  </si>
  <si>
    <t xml:space="preserve">Type</t>
  </si>
  <si>
    <t xml:space="preserve">Sleep date attribution fix</t>
  </si>
  <si>
    <t xml:space="preserve">GLK reports data at 2-6 AM; fixed logic so sessions attribute to the correct sleep date, not the calendar date of the raw timestamp</t>
  </si>
  <si>
    <t xml:space="preserve">Bug Fix</t>
  </si>
  <si>
    <t xml:space="preserve">Snoring / activity / restless data leaking from previous day</t>
  </si>
  <si>
    <t xml:space="preserve">Data from a prior night was bleeding into the current day's response; fixed fetch window boundaries</t>
  </si>
  <si>
    <t xml:space="preserve">ROOT CAUSE of empty sleep sessions</t>
  </si>
  <si>
    <t xml:space="preserve">GLK source detection missed cloud webhook format (glk_cloud vs glk_local); sessions appeared empty because ingestion didn't recognize the payload</t>
  </si>
  <si>
    <t xml:space="preserve">previous_sleep_session computation fix</t>
  </si>
  <si>
    <t xml:space="preserve">The "compared to last night" comparison was pulling the wrong session</t>
  </si>
  <si>
    <t xml:space="preserve">GLK fetch window fix</t>
  </si>
  <si>
    <t xml:space="preserve">API query window wasn't aligned with actual data arrival pattern (2-6 AM next day)</t>
  </si>
  <si>
    <t xml:space="preserve">15-minute minimum duration filter</t>
  </si>
  <si>
    <t xml:space="preserve">Added to discard spurious micro-sessions (sensor noise, brief power events)</t>
  </si>
  <si>
    <t xml:space="preserve">Feature</t>
  </si>
  <si>
    <t xml:space="preserve">Device-offline close in build_sleep_sessions</t>
  </si>
  <si>
    <t xml:space="preserve">Sessions left open when device went offline are now properly closed</t>
  </si>
  <si>
    <t xml:space="preserve">merge_close_sessions widened 15 min to 30 min</t>
  </si>
  <si>
    <t xml:space="preserve">Adjacent sessions separated by brief gaps (bathroom trip) merged into one continuous night</t>
  </si>
  <si>
    <t xml:space="preserve">110-minute data gap analysis</t>
  </si>
  <si>
    <t xml:space="preserve">Analyzed raw data and proved the gap was GLK sensor going silent (hardware), not a software bug</t>
  </si>
  <si>
    <t xml:space="preserve">Investigation</t>
  </si>
  <si>
    <t xml:space="preserve">device_id: null in create_emfit_log</t>
  </si>
  <si>
    <t xml:space="preserve">Log creation wasn't attaching the device ID; fixed</t>
  </si>
  <si>
    <t xml:space="preserve">Backfilled device_id on all 734 existing emfit_logs records</t>
  </si>
  <si>
    <t xml:space="preserve">Retroactive data integrity fix</t>
  </si>
  <si>
    <t xml:space="preserve">get_sleep_date_range window fix</t>
  </si>
  <si>
    <t xml:space="preserve">Date range query for sleep data was off by one day</t>
  </si>
  <si>
    <t xml:space="preserve">Only last sleep session in APIs</t>
  </si>
  <si>
    <t xml:space="preserve">Enforced user requirement that APIs return only the most recent session</t>
  </si>
  <si>
    <t xml:space="preserve">Removed _debug / _session_debug from API response</t>
  </si>
  <si>
    <t xml:space="preserve">Cleanup of temporary debugging data from production response</t>
  </si>
  <si>
    <t xml:space="preserve">GLK vitals completeness fix (v20)</t>
  </si>
  <si>
    <t xml:space="preserve">signal_quality field was extracted but never returned; fixed to forward all 13 raw device fields including heart_rate, respiration_rate, battery_level, signal_quality, etc.</t>
  </si>
  <si>
    <t xml:space="preserve">GLK BLE transport fix (v9)</t>
  </si>
  <si>
    <t xml:space="preserve">Provisioning was failing (wifi_ack=false, 502) because BLE write used response=True which GLK fff1 characteristic doesn't support; fixed to response=False with 0.12s inter-chunk delay</t>
  </si>
  <si>
    <t xml:space="preserve">GLK pairing 502 fix (v8)</t>
  </si>
  <si>
    <t xml:space="preserve">server.js reads glk_provision.py from wrong path; setup script only deployed improved version to one location. Fixed: copy into both locations</t>
  </si>
  <si>
    <t xml:space="preserve">GLK emergency frame forwarding (v20)</t>
  </si>
  <si>
    <t xml:space="preserve">Emergency (0x0D) frames now forward decoded fields (life_abnormality=true, status_code=5) instead of raw hex, enabling backend push notifications</t>
  </si>
  <si>
    <t xml:space="preserve">Motion sensor flickering + stale presence bug fix</t>
  </si>
  <si>
    <t xml:space="preserve">Dashboard showed rapid on/off flickering and stale "motion detected" that never cleared</t>
  </si>
  <si>
    <t xml:space="preserve">Motion sensor pairing UI</t>
  </si>
  <si>
    <t xml:space="preserve">Added "Paired Motion Sensor" and "Paired Window/Door Sensor" dropdowns to dashboard device form for door-aware occupancy linking</t>
  </si>
  <si>
    <t xml:space="preserve">"Too long in room" no-motion alerts — 3 critical bugs fixed</t>
  </si>
  <si>
    <t xml:space="preserve">(1) Alert timer not resetting on new motion events, (2) Grace period calculation wrong, (3) Alert firing during normal occupancy patterns</t>
  </si>
  <si>
    <t xml:space="preserve">Motion sensor alert grace period bug</t>
  </si>
  <si>
    <t xml:space="preserve">Configurable grace period before "no motion" alert wasn't being respected</t>
  </si>
  <si>
    <t xml:space="preserve">Motion sensor alerts not firing — 3 root causes</t>
  </si>
  <si>
    <t xml:space="preserve">(1) Zigbee event path not triggering alert evaluation, (2) Home-based device lookup failing, (3) Alert threshold comparison inverted</t>
  </si>
  <si>
    <t xml:space="preserve">Multiple paired window sensor filter fixes</t>
  </si>
  <si>
    <t xml:space="preserve">Filter associating a contact sensor with its paired motion sensor had edge cases where wrong sensor matched</t>
  </si>
  <si>
    <t xml:space="preserve">Occupancy showing false while person is sitting still</t>
  </si>
  <si>
    <t xml:space="preserve">Presence sensor correctly reported occupancy but dashboard showed "unoccupied" due to logic error in state aggregation</t>
  </si>
  <si>
    <t xml:space="preserve">Door-aware occupancy logic (complete implementation)</t>
  </si>
  <si>
    <t xml:space="preserve">Presence + motion + door sensor data combined: if door opens and presence drops, person left; if presence stays, person is still there despite door activity</t>
  </si>
  <si>
    <t xml:space="preserve">Contact sensor filter fixed to use normalize_sensor_type</t>
  </si>
  <si>
    <t xml:space="preserve">Sensor type strings weren't normalized, causing filter mismatches</t>
  </si>
  <si>
    <t xml:space="preserve">Contact sensor filter updated: only hide those paired with motion sensor</t>
  </si>
  <si>
    <t xml:space="preserve">Standalone door sensors appear in user app; only those paired as "window sensor" hidden</t>
  </si>
  <si>
    <t xml:space="preserve">Cloud backend: hide contact sensors from user app listing</t>
  </si>
  <si>
    <t xml:space="preserve">Paired contact sensors are infrastructure (motion sensor helper), not user-facing</t>
  </si>
  <si>
    <t xml:space="preserve">Paired window sensor event leaking to standalone Door Sensor</t>
  </si>
  <si>
    <t xml:space="preserve">When a contact sensor was paired with motion sensor, its events appeared on unrelated standalone door sensor log</t>
  </si>
  <si>
    <t xml:space="preserve">Resident dropdown removed from contact sensor pairing form</t>
  </si>
  <si>
    <t xml:space="preserve">Contact sensors don't need resident assignment</t>
  </si>
  <si>
    <t xml:space="preserve">Emergency button alert_log not saving to DB</t>
  </si>
  <si>
    <t xml:space="preserve">Button press events were received via Zigbee/MQTT but alert log entry wasn't being persisted to MongoDB</t>
  </si>
  <si>
    <t xml:space="preserve">Diagnosed empty alert_logs for emergency button</t>
  </si>
  <si>
    <t xml:space="preserve">Traced full event path from Zigbee2MQTT to MQTT bridge to backend webhook to DB write to locate the break point</t>
  </si>
  <si>
    <t xml:space="preserve">"Danger - UNKNOWN" alert fix</t>
  </si>
  <si>
    <t xml:space="preserve">Fall detection alerts showed "Danger - UNKNOWN" instead of proper alert message; fixed alert type mapping on both qa and master branches</t>
  </si>
  <si>
    <t xml:space="preserve">Camera stream debugging — COMPLETED</t>
  </si>
  <si>
    <t xml:space="preserve">Full end-to-end troubleshooting of RTSP to go2rtc to WebRTC/HLS pipeline on the Pi</t>
  </si>
  <si>
    <t xml:space="preserve">Camera checker CAMERA_ONLINE/OFFLINE resident lookups fixed</t>
  </si>
  <si>
    <t xml:space="preserve">Periodic camera health check was failing to find associated resident, so online/offline status wasn't reported</t>
  </si>
  <si>
    <t xml:space="preserve">go2rtc configuration</t>
  </si>
  <si>
    <t xml:space="preserve">Set up as part of every Pi deployment for proxying CP Plus RTSP stream to dashboard via WebRTC</t>
  </si>
  <si>
    <t xml:space="preserve">Camera IP/DHCP fix</t>
  </si>
  <si>
    <t xml:space="preserve">Camera IP changed from 192.168.50.102 to .100 (DHCP moved it); stream name fixed to match MongoDB record</t>
  </si>
  <si>
    <t xml:space="preserve">Multi-camera support (v3)</t>
  </si>
  <si>
    <t xml:space="preserve">CAMERAS array replaces single CAMERA_IP/CAMERA_STREAM_NAME; go2rtc.yaml generated with ALL camera streams; camera-wrapper TCP probes all cameras in parallel</t>
  </si>
  <si>
    <t xml:space="preserve">Bulk heartbeat (v3)</t>
  </si>
  <si>
    <t xml:space="preserve">camera-wrapper calls /api/camera/bulk-heartbeat with array of all camera statuses instead of single-camera heartbeat</t>
  </si>
  <si>
    <t xml:space="preserve">Multiple pisetup versions built (v3–v28)</t>
  </si>
  <si>
    <t xml:space="preserve">v3, v4, v5, v8, v9, v20, v23, v25, v26, v27, v27.1, v27.2, v28 — each adding fixes and features</t>
  </si>
  <si>
    <t xml:space="preserve">Fresh Pi setup completed</t>
  </si>
  <si>
    <t xml:space="preserve">Full deploy: dashboard + camera + Zigbee + MQTT + GLK + hub heartbeat</t>
  </si>
  <si>
    <t xml:space="preserve">Home mapping</t>
  </si>
  <si>
    <t xml:space="preserve">POST /api/hub/setup with home_id to bind Pi to a specific home</t>
  </si>
  <si>
    <t xml:space="preserve">Zigbee service + cron checkers fixed for home-based device mapping</t>
  </si>
  <si>
    <t xml:space="preserve">Checkers were looking up devices by resident instead of by home</t>
  </si>
  <si>
    <t xml:space="preserve">DS3231 RTC clock chip setup on QA Pi</t>
  </si>
  <si>
    <t xml:space="preserve">Hardware real-time clock for accurate timestamps without NTP</t>
  </si>
  <si>
    <t xml:space="preserve">Hub heartbeat implementation</t>
  </si>
  <si>
    <t xml:space="preserve">Periodic heartbeat from Pi to cloud backend so app knows hub is online</t>
  </si>
  <si>
    <t xml:space="preserve">SD card corruption root cause analysis</t>
  </si>
  <si>
    <t xml:space="preserve">Deep investigation identifying SDIO bus (shared between WiFi and SD card) as hardware-level root cause; formal DOCX report produced</t>
  </si>
  <si>
    <t xml:space="preserve">SSD migration (USB boot)</t>
  </si>
  <si>
    <t xml:space="preserve">EEPROM bootloader update, Sounce adapter compatibility (UAS quirks, autosuspend disable, blacklist), cmdline.txt + config.txt config, live filesystem auto-expansion</t>
  </si>
  <si>
    <t xml:space="preserve">Hub status log collection</t>
  </si>
  <si>
    <t xml:space="preserve">Created hub_status_log MongoDB collection with model + API endpoint</t>
  </si>
  <si>
    <t xml:space="preserve">Hardware watchdog (v28)</t>
  </si>
  <si>
    <t xml:space="preserve">Enabled Pi's hardware watchdog timer for auto-reboot on hang</t>
  </si>
  <si>
    <t xml:space="preserve">Network hardening (v28)</t>
  </si>
  <si>
    <t xml:space="preserve">WiFi reconnect scripts, connection monitoring</t>
  </si>
  <si>
    <t xml:space="preserve">Cudy TR1200 router internet connectivity fix</t>
  </si>
  <si>
    <t xml:space="preserve">Diagnosed and fixed QA network internet access</t>
  </si>
  <si>
    <t xml:space="preserve">Autossh tunnel replaced by Cloudflare named tunnel (v5)</t>
  </si>
  <si>
    <t xml:space="preserve">Token-based named tunnel; installs cloudflared, registers URL via POST /api/hub/tunnel</t>
  </si>
  <si>
    <t xml:space="preserve">Cloudflare ingress rules fix (v23)</t>
  </si>
  <si>
    <t xml:space="preserve">Token-based cloudflared sometimes fails to pull ingress config causing "No ingress rules" + HTTP 503; fix creates explicit config.yml</t>
  </si>
  <si>
    <t xml:space="preserve">Mosquitto MQTT broker + Zigbee2MQTT</t>
  </si>
  <si>
    <t xml:space="preserve">Configured on each Pi deployment with SONOFF Zigbee dongle</t>
  </si>
  <si>
    <t xml:space="preserve">Auto-retry function (v23)</t>
  </si>
  <si>
    <t xml:space="preserve">retry() with exponential backoff (5s-60s, 6 attempts) applied to apt-get, Node.js install, npm install, git clone/pull, cloudflared download</t>
  </si>
  <si>
    <t xml:space="preserve">Service health checks (v23)</t>
  </si>
  <si>
    <t xml:space="preserve">check_service_health() verifies systemd services are active after start, auto-restarts up to 3 times; check_pm2_health() for PM2 processes</t>
  </si>
  <si>
    <t xml:space="preserve">PM2 boot persistence fix</t>
  </si>
  <si>
    <t xml:space="preserve">Pi was dead after 12hr power-off; pm2 startup systemd now runs unconditionally; falls back to manual systemd service creation; @reboot cron as backup</t>
  </si>
  <si>
    <t xml:space="preserve">Static IP baked into setup script (v26)</t>
  </si>
  <si>
    <t xml:space="preserve">Static IP 192.168.50.106 configured inside setup-pi-fresh.sh; supports both dhcpcd (Bullseye) and NetworkManager (Bookworm+)</t>
  </si>
  <si>
    <t xml:space="preserve">Live filesystem auto-expansion (v27.2)</t>
  </si>
  <si>
    <t xml:space="preserve">Auto-detects undersized root (&lt;10GB free) and expands live using parted + resize2fs without reboot</t>
  </si>
  <si>
    <t xml:space="preserve">Deploy script gateway exclusion (v5)</t>
  </si>
  <si>
    <t xml:space="preserve">Cudy router excluded from Pi auto-discovery because its Broadcom chip responded to SSH probe</t>
  </si>
  <si>
    <t xml:space="preserve">Deploy scripts for Mac + Windows</t>
  </si>
  <si>
    <t xml:space="preserve">deploy-pi.command (Mac, sshpass) and deploy-pi.ps1 (Windows, Posh-SSH) with env selector (Prod/QA)</t>
  </si>
  <si>
    <t xml:space="preserve">Resident dropdown removal from ALL device forms except GLK</t>
  </si>
  <si>
    <t xml:space="preserve">Simplified pairing flow; home-based mapping replaced per-resident assignment</t>
  </si>
  <si>
    <t xml:space="preserve">Sync button implementation</t>
  </si>
  <si>
    <t xml:space="preserve">Dashboard UI button to force-sync all device states</t>
  </si>
  <si>
    <t xml:space="preserve">handleSave fix — frontend re-fetches after save</t>
  </si>
  <si>
    <t xml:space="preserve">After saving device config, UI pulls fresh data instead of showing stale state</t>
  </si>
  <si>
    <t xml:space="preserve">Device listing ignoring home filter — fixed</t>
  </si>
  <si>
    <t xml:space="preserve">Device list API wasn't filtering by selected home</t>
  </si>
  <si>
    <t xml:space="preserve">"Unauthorized device access" in device_controller.js — fixed</t>
  </si>
  <si>
    <t xml:space="preserve">Legitimate device requests were being rejected</t>
  </si>
  <si>
    <t xml:space="preserve">Alerts route ordering in user_device_route.js — fixed</t>
  </si>
  <si>
    <t xml:space="preserve">Route parameter conflicts caused alerts endpoint to 404</t>
  </si>
  <si>
    <t xml:space="preserve">debug_dashboard_data diagnostic function added</t>
  </si>
  <si>
    <t xml:space="preserve">Helper to dump full dashboard data state for troubleshooting</t>
  </si>
  <si>
    <t xml:space="preserve">Timezone bug in requested_date — fixed</t>
  </si>
  <si>
    <t xml:space="preserve">IST vs UTC offset was shifting which day's data was returned</t>
  </si>
  <si>
    <t xml:space="preserve">ESLint snake_case enforcement</t>
  </si>
  <si>
    <t xml:space="preserve">Applied id-match rule across codebase</t>
  </si>
  <si>
    <t xml:space="preserve">CI/CD git pull failure diagnosed and fixed</t>
  </si>
  <si>
    <t xml:space="preserve">Deployment pipeline was broken</t>
  </si>
  <si>
    <t xml:space="preserve">EC2 Docker container name conflict resolved</t>
  </si>
  <si>
    <t xml:space="preserve">QA backend container couldn't start due to name collision</t>
  </si>
  <si>
    <t xml:space="preserve">server.js corruption fix</t>
  </si>
  <si>
    <t xml:space="preserve">Removed duplicated content + merge marker from server.js after bad merge</t>
  </si>
  <si>
    <t xml:space="preserve">All merge conflicts resolved on both repos</t>
  </si>
  <si>
    <t xml:space="preserve">qa + master branches for both Pi Dashboard and Backend repos</t>
  </si>
  <si>
    <t xml:space="preserve">Push notification event/screen mapping</t>
  </si>
  <si>
    <t xml:space="preserve">Wired up which alert types trigger which push notifications and which app screen they deep-link to</t>
  </si>
  <si>
    <t xml:space="preserve">Zigbee type auto-detection fix (v25)</t>
  </si>
  <si>
    <t xml:space="preserve">mqttClient.js type detection broken for freshly-paired devices; also checks dev.definition.exposes array; DeviceForm.jsx got Temperature, Leak, Zigbee added to type dropdown</t>
  </si>
  <si>
    <t xml:space="preserve">MQTT bridge dotenv fix (v4)</t>
  </si>
  <si>
    <t xml:space="preserve">Bridge always hitting production because dotenv wasn't imported before reading process.env.BACKEND_URL; added inline env vars via PM2 as backup</t>
  </si>
  <si>
    <t xml:space="preserve">Frontend auth.js fix (v4)</t>
  </si>
  <si>
    <t xml:space="preserve">Login was getting prod token which Pi forwarded to QA causing 401 Unauthorized; fixed auth.js to always read VITE_BACKEND_URL; .env created for both environments</t>
  </si>
  <si>
    <t xml:space="preserve">server.js assign-name crash fix (v4)</t>
  </si>
  <si>
    <t xml:space="preserve">Z2M configuration.yaml may have no "devices:" key on fresh installs; original code crashed with TypeError; fixed with try/catch + null check</t>
  </si>
  <si>
    <t xml:space="preserve">Diagnosed dashboard empty data for Sep 17</t>
  </si>
  <si>
    <t xml:space="preserve">Investigated and explained why dashboard showed no data for a specific date</t>
  </si>
  <si>
    <t xml:space="preserve">Implementation spec documents created</t>
  </si>
  <si>
    <t xml:space="preserve">Formal specification documents for device integration and dashboard logic</t>
  </si>
  <si>
    <t xml:space="preserve">Total: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</si>
</sst>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6B"/>
      <name val="Arial"/>
      <family val="0"/>
      <charset val="1"/>
    </font>
    <font>
      <sz val="11"/>
      <color rgb="FF555555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22"/>
      <color rgb="FF1B2A6B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6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0"/>
      <color rgb="FF0066AA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1B2A6B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2F2"/>
      <rgbColor rgb="FFDCE6F1"/>
      <rgbColor rgb="FF660066"/>
      <rgbColor rgb="FFFF8080"/>
      <rgbColor rgb="FF0066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B2A6B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00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5"/>
  </cols>
  <sheetData>
    <row r="2" customFormat="false" ht="19.7" hidden="false" customHeight="fals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4" customFormat="false" ht="15" hidden="false" customHeight="false" outlineLevel="0" collapsed="false">
      <c r="B4" s="3" t="s">
        <v>2</v>
      </c>
      <c r="C4" s="3"/>
      <c r="D4" s="3"/>
    </row>
    <row r="6" customFormat="false" ht="26.8" hidden="false" customHeight="false" outlineLevel="0" collapsed="false">
      <c r="B6" s="4" t="n">
        <v>82</v>
      </c>
      <c r="C6" s="4" t="n">
        <v>9</v>
      </c>
      <c r="D6" s="4" t="n">
        <v>82</v>
      </c>
    </row>
    <row r="7" customFormat="false" ht="15" hidden="false" customHeight="false" outlineLevel="0" collapsed="false">
      <c r="B7" s="5" t="s">
        <v>3</v>
      </c>
      <c r="C7" s="5" t="s">
        <v>4</v>
      </c>
      <c r="D7" s="5" t="s">
        <v>5</v>
      </c>
    </row>
    <row r="9" customFormat="false" ht="15" hidden="false" customHeight="false" outlineLevel="0" collapsed="false">
      <c r="B9" s="6" t="s">
        <v>6</v>
      </c>
      <c r="C9" s="7" t="s">
        <v>7</v>
      </c>
      <c r="D9" s="6" t="s">
        <v>8</v>
      </c>
    </row>
    <row r="10" customFormat="false" ht="15" hidden="false" customHeight="false" outlineLevel="0" collapsed="false">
      <c r="B10" s="8" t="n">
        <v>1</v>
      </c>
      <c r="C10" s="9" t="s">
        <v>9</v>
      </c>
      <c r="D10" s="10" t="n">
        <v>18</v>
      </c>
    </row>
    <row r="11" customFormat="false" ht="15" hidden="false" customHeight="false" outlineLevel="0" collapsed="false">
      <c r="B11" s="11" t="n">
        <v>2</v>
      </c>
      <c r="C11" s="12" t="s">
        <v>10</v>
      </c>
      <c r="D11" s="13" t="n">
        <v>6</v>
      </c>
    </row>
    <row r="12" customFormat="false" ht="15" hidden="false" customHeight="false" outlineLevel="0" collapsed="false">
      <c r="B12" s="8" t="n">
        <v>3</v>
      </c>
      <c r="C12" s="9" t="s">
        <v>11</v>
      </c>
      <c r="D12" s="10" t="n">
        <v>2</v>
      </c>
    </row>
    <row r="13" customFormat="false" ht="15" hidden="false" customHeight="false" outlineLevel="0" collapsed="false">
      <c r="B13" s="11" t="n">
        <v>4</v>
      </c>
      <c r="C13" s="12" t="s">
        <v>12</v>
      </c>
      <c r="D13" s="13" t="n">
        <v>5</v>
      </c>
    </row>
    <row r="14" customFormat="false" ht="15" hidden="false" customHeight="false" outlineLevel="0" collapsed="false">
      <c r="B14" s="8" t="n">
        <v>5</v>
      </c>
      <c r="C14" s="9" t="s">
        <v>13</v>
      </c>
      <c r="D14" s="10" t="n">
        <v>2</v>
      </c>
    </row>
    <row r="15" customFormat="false" ht="15" hidden="false" customHeight="false" outlineLevel="0" collapsed="false">
      <c r="B15" s="11" t="n">
        <v>6</v>
      </c>
      <c r="C15" s="12" t="s">
        <v>14</v>
      </c>
      <c r="D15" s="13" t="n">
        <v>1</v>
      </c>
    </row>
    <row r="16" customFormat="false" ht="15" hidden="false" customHeight="false" outlineLevel="0" collapsed="false">
      <c r="B16" s="8" t="n">
        <v>7</v>
      </c>
      <c r="C16" s="9" t="s">
        <v>15</v>
      </c>
      <c r="D16" s="10" t="n">
        <v>6</v>
      </c>
    </row>
    <row r="17" customFormat="false" ht="15" hidden="false" customHeight="false" outlineLevel="0" collapsed="false">
      <c r="B17" s="11" t="n">
        <v>8</v>
      </c>
      <c r="C17" s="12" t="s">
        <v>16</v>
      </c>
      <c r="D17" s="13" t="n">
        <v>22</v>
      </c>
    </row>
    <row r="18" customFormat="false" ht="15" hidden="false" customHeight="false" outlineLevel="0" collapsed="false">
      <c r="B18" s="8" t="n">
        <v>9</v>
      </c>
      <c r="C18" s="9" t="s">
        <v>17</v>
      </c>
      <c r="D18" s="10" t="n">
        <v>20</v>
      </c>
    </row>
    <row r="19" customFormat="false" ht="15" hidden="false" customHeight="false" outlineLevel="0" collapsed="false">
      <c r="B19" s="14" t="s">
        <v>18</v>
      </c>
      <c r="C19" s="14"/>
      <c r="D19" s="15" t="n">
        <f aca="false">SUM(D10:D18)</f>
        <v>82</v>
      </c>
    </row>
    <row r="21" customFormat="false" ht="15" hidden="false" customHeight="false" outlineLevel="0" collapsed="false">
      <c r="B21" s="16" t="s">
        <v>19</v>
      </c>
    </row>
  </sheetData>
  <mergeCells count="4">
    <mergeCell ref="B2:D2"/>
    <mergeCell ref="B3:D3"/>
    <mergeCell ref="B4:D4"/>
    <mergeCell ref="B19:C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4.00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75"/>
  </cols>
  <sheetData>
    <row r="1" customFormat="false" ht="27.75" hidden="false" customHeight="true" outlineLevel="0" collapsed="false">
      <c r="A1" s="1" t="s">
        <v>20</v>
      </c>
      <c r="B1" s="1"/>
      <c r="C1" s="1"/>
      <c r="D1" s="1"/>
      <c r="E1" s="1"/>
    </row>
    <row r="3" customFormat="false" ht="21.75" hidden="false" customHeight="true" outlineLevel="0" collapsed="false">
      <c r="A3" s="17" t="s">
        <v>6</v>
      </c>
      <c r="B3" s="17" t="s">
        <v>21</v>
      </c>
      <c r="C3" s="17" t="s">
        <v>22</v>
      </c>
      <c r="D3" s="17" t="s">
        <v>23</v>
      </c>
      <c r="E3" s="17" t="s">
        <v>24</v>
      </c>
    </row>
    <row r="4" customFormat="false" ht="23.85" hidden="false" customHeight="false" outlineLevel="0" collapsed="false">
      <c r="A4" s="18" t="n">
        <v>1</v>
      </c>
      <c r="B4" s="19" t="s">
        <v>9</v>
      </c>
      <c r="C4" s="20" t="s">
        <v>25</v>
      </c>
      <c r="D4" s="20" t="s">
        <v>26</v>
      </c>
      <c r="E4" s="21" t="s">
        <v>27</v>
      </c>
    </row>
    <row r="5" customFormat="false" ht="23.85" hidden="false" customHeight="false" outlineLevel="0" collapsed="false">
      <c r="A5" s="22" t="n">
        <v>2</v>
      </c>
      <c r="B5" s="23" t="s">
        <v>9</v>
      </c>
      <c r="C5" s="24" t="s">
        <v>28</v>
      </c>
      <c r="D5" s="24" t="s">
        <v>29</v>
      </c>
      <c r="E5" s="25" t="s">
        <v>27</v>
      </c>
    </row>
    <row r="6" customFormat="false" ht="23.85" hidden="false" customHeight="false" outlineLevel="0" collapsed="false">
      <c r="A6" s="18" t="n">
        <v>3</v>
      </c>
      <c r="B6" s="19" t="s">
        <v>9</v>
      </c>
      <c r="C6" s="20" t="s">
        <v>30</v>
      </c>
      <c r="D6" s="20" t="s">
        <v>31</v>
      </c>
      <c r="E6" s="21" t="s">
        <v>27</v>
      </c>
    </row>
    <row r="7" customFormat="false" ht="15" hidden="false" customHeight="false" outlineLevel="0" collapsed="false">
      <c r="A7" s="22" t="n">
        <v>4</v>
      </c>
      <c r="B7" s="23" t="s">
        <v>9</v>
      </c>
      <c r="C7" s="24" t="s">
        <v>32</v>
      </c>
      <c r="D7" s="24" t="s">
        <v>33</v>
      </c>
      <c r="E7" s="25" t="s">
        <v>27</v>
      </c>
    </row>
    <row r="8" customFormat="false" ht="15" hidden="false" customHeight="false" outlineLevel="0" collapsed="false">
      <c r="A8" s="18" t="n">
        <v>5</v>
      </c>
      <c r="B8" s="19" t="s">
        <v>9</v>
      </c>
      <c r="C8" s="20" t="s">
        <v>34</v>
      </c>
      <c r="D8" s="20" t="s">
        <v>35</v>
      </c>
      <c r="E8" s="21" t="s">
        <v>27</v>
      </c>
    </row>
    <row r="9" customFormat="false" ht="15" hidden="false" customHeight="false" outlineLevel="0" collapsed="false">
      <c r="A9" s="22" t="n">
        <v>6</v>
      </c>
      <c r="B9" s="23" t="s">
        <v>9</v>
      </c>
      <c r="C9" s="24" t="s">
        <v>36</v>
      </c>
      <c r="D9" s="24" t="s">
        <v>37</v>
      </c>
      <c r="E9" s="26" t="s">
        <v>38</v>
      </c>
    </row>
    <row r="10" customFormat="false" ht="15" hidden="false" customHeight="false" outlineLevel="0" collapsed="false">
      <c r="A10" s="18" t="n">
        <v>7</v>
      </c>
      <c r="B10" s="19" t="s">
        <v>9</v>
      </c>
      <c r="C10" s="20" t="s">
        <v>39</v>
      </c>
      <c r="D10" s="20" t="s">
        <v>40</v>
      </c>
      <c r="E10" s="21" t="s">
        <v>27</v>
      </c>
    </row>
    <row r="11" customFormat="false" ht="15" hidden="false" customHeight="false" outlineLevel="0" collapsed="false">
      <c r="A11" s="22" t="n">
        <v>8</v>
      </c>
      <c r="B11" s="23" t="s">
        <v>9</v>
      </c>
      <c r="C11" s="24" t="s">
        <v>41</v>
      </c>
      <c r="D11" s="24" t="s">
        <v>42</v>
      </c>
      <c r="E11" s="26" t="s">
        <v>38</v>
      </c>
    </row>
    <row r="12" customFormat="false" ht="23.85" hidden="false" customHeight="false" outlineLevel="0" collapsed="false">
      <c r="A12" s="18" t="n">
        <v>9</v>
      </c>
      <c r="B12" s="19" t="s">
        <v>9</v>
      </c>
      <c r="C12" s="20" t="s">
        <v>43</v>
      </c>
      <c r="D12" s="20" t="s">
        <v>44</v>
      </c>
      <c r="E12" s="27" t="s">
        <v>45</v>
      </c>
    </row>
    <row r="13" customFormat="false" ht="15" hidden="false" customHeight="false" outlineLevel="0" collapsed="false">
      <c r="A13" s="22" t="n">
        <v>10</v>
      </c>
      <c r="B13" s="23" t="s">
        <v>9</v>
      </c>
      <c r="C13" s="24" t="s">
        <v>46</v>
      </c>
      <c r="D13" s="24" t="s">
        <v>47</v>
      </c>
      <c r="E13" s="25" t="s">
        <v>27</v>
      </c>
    </row>
    <row r="14" customFormat="false" ht="23.85" hidden="false" customHeight="false" outlineLevel="0" collapsed="false">
      <c r="A14" s="18" t="n">
        <v>11</v>
      </c>
      <c r="B14" s="19" t="s">
        <v>9</v>
      </c>
      <c r="C14" s="20" t="s">
        <v>48</v>
      </c>
      <c r="D14" s="20" t="s">
        <v>49</v>
      </c>
      <c r="E14" s="21" t="s">
        <v>27</v>
      </c>
    </row>
    <row r="15" customFormat="false" ht="15" hidden="false" customHeight="false" outlineLevel="0" collapsed="false">
      <c r="A15" s="22" t="n">
        <v>12</v>
      </c>
      <c r="B15" s="23" t="s">
        <v>9</v>
      </c>
      <c r="C15" s="24" t="s">
        <v>50</v>
      </c>
      <c r="D15" s="24" t="s">
        <v>51</v>
      </c>
      <c r="E15" s="25" t="s">
        <v>27</v>
      </c>
    </row>
    <row r="16" customFormat="false" ht="15" hidden="false" customHeight="false" outlineLevel="0" collapsed="false">
      <c r="A16" s="18" t="n">
        <v>13</v>
      </c>
      <c r="B16" s="19" t="s">
        <v>9</v>
      </c>
      <c r="C16" s="20" t="s">
        <v>52</v>
      </c>
      <c r="D16" s="20" t="s">
        <v>53</v>
      </c>
      <c r="E16" s="28" t="s">
        <v>38</v>
      </c>
    </row>
    <row r="17" customFormat="false" ht="15" hidden="false" customHeight="false" outlineLevel="0" collapsed="false">
      <c r="A17" s="22" t="n">
        <v>14</v>
      </c>
      <c r="B17" s="23" t="s">
        <v>9</v>
      </c>
      <c r="C17" s="24" t="s">
        <v>54</v>
      </c>
      <c r="D17" s="24" t="s">
        <v>55</v>
      </c>
      <c r="E17" s="26" t="s">
        <v>38</v>
      </c>
    </row>
    <row r="18" customFormat="false" ht="23.85" hidden="false" customHeight="false" outlineLevel="0" collapsed="false">
      <c r="A18" s="18" t="n">
        <v>15</v>
      </c>
      <c r="B18" s="19" t="s">
        <v>9</v>
      </c>
      <c r="C18" s="20" t="s">
        <v>56</v>
      </c>
      <c r="D18" s="20" t="s">
        <v>57</v>
      </c>
      <c r="E18" s="21" t="s">
        <v>27</v>
      </c>
    </row>
    <row r="19" customFormat="false" ht="23.85" hidden="false" customHeight="false" outlineLevel="0" collapsed="false">
      <c r="A19" s="22" t="n">
        <v>16</v>
      </c>
      <c r="B19" s="23" t="s">
        <v>9</v>
      </c>
      <c r="C19" s="24" t="s">
        <v>58</v>
      </c>
      <c r="D19" s="24" t="s">
        <v>59</v>
      </c>
      <c r="E19" s="25" t="s">
        <v>27</v>
      </c>
    </row>
    <row r="20" customFormat="false" ht="23.85" hidden="false" customHeight="false" outlineLevel="0" collapsed="false">
      <c r="A20" s="18" t="n">
        <v>17</v>
      </c>
      <c r="B20" s="19" t="s">
        <v>9</v>
      </c>
      <c r="C20" s="20" t="s">
        <v>60</v>
      </c>
      <c r="D20" s="20" t="s">
        <v>61</v>
      </c>
      <c r="E20" s="21" t="s">
        <v>27</v>
      </c>
    </row>
    <row r="21" customFormat="false" ht="23.85" hidden="false" customHeight="false" outlineLevel="0" collapsed="false">
      <c r="A21" s="22" t="n">
        <v>18</v>
      </c>
      <c r="B21" s="23" t="s">
        <v>9</v>
      </c>
      <c r="C21" s="24" t="s">
        <v>62</v>
      </c>
      <c r="D21" s="24" t="s">
        <v>63</v>
      </c>
      <c r="E21" s="26" t="s">
        <v>38</v>
      </c>
    </row>
    <row r="22" customFormat="false" ht="15" hidden="false" customHeight="false" outlineLevel="0" collapsed="false">
      <c r="A22" s="18" t="n">
        <v>19</v>
      </c>
      <c r="B22" s="19" t="s">
        <v>10</v>
      </c>
      <c r="C22" s="20" t="s">
        <v>64</v>
      </c>
      <c r="D22" s="20" t="s">
        <v>65</v>
      </c>
      <c r="E22" s="21" t="s">
        <v>27</v>
      </c>
    </row>
    <row r="23" customFormat="false" ht="23.85" hidden="false" customHeight="false" outlineLevel="0" collapsed="false">
      <c r="A23" s="22" t="n">
        <v>20</v>
      </c>
      <c r="B23" s="23" t="s">
        <v>10</v>
      </c>
      <c r="C23" s="24" t="s">
        <v>66</v>
      </c>
      <c r="D23" s="24" t="s">
        <v>67</v>
      </c>
      <c r="E23" s="26" t="s">
        <v>38</v>
      </c>
    </row>
    <row r="24" customFormat="false" ht="23.85" hidden="false" customHeight="false" outlineLevel="0" collapsed="false">
      <c r="A24" s="18" t="n">
        <v>21</v>
      </c>
      <c r="B24" s="19" t="s">
        <v>10</v>
      </c>
      <c r="C24" s="20" t="s">
        <v>68</v>
      </c>
      <c r="D24" s="20" t="s">
        <v>69</v>
      </c>
      <c r="E24" s="21" t="s">
        <v>27</v>
      </c>
    </row>
    <row r="25" customFormat="false" ht="15" hidden="false" customHeight="false" outlineLevel="0" collapsed="false">
      <c r="A25" s="22" t="n">
        <v>22</v>
      </c>
      <c r="B25" s="23" t="s">
        <v>10</v>
      </c>
      <c r="C25" s="24" t="s">
        <v>70</v>
      </c>
      <c r="D25" s="24" t="s">
        <v>71</v>
      </c>
      <c r="E25" s="25" t="s">
        <v>27</v>
      </c>
    </row>
    <row r="26" customFormat="false" ht="23.85" hidden="false" customHeight="false" outlineLevel="0" collapsed="false">
      <c r="A26" s="18" t="n">
        <v>23</v>
      </c>
      <c r="B26" s="19" t="s">
        <v>10</v>
      </c>
      <c r="C26" s="20" t="s">
        <v>72</v>
      </c>
      <c r="D26" s="20" t="s">
        <v>73</v>
      </c>
      <c r="E26" s="21" t="s">
        <v>27</v>
      </c>
    </row>
    <row r="27" customFormat="false" ht="23.85" hidden="false" customHeight="false" outlineLevel="0" collapsed="false">
      <c r="A27" s="22" t="n">
        <v>24</v>
      </c>
      <c r="B27" s="23" t="s">
        <v>10</v>
      </c>
      <c r="C27" s="24" t="s">
        <v>74</v>
      </c>
      <c r="D27" s="24" t="s">
        <v>75</v>
      </c>
      <c r="E27" s="25" t="s">
        <v>27</v>
      </c>
    </row>
    <row r="28" customFormat="false" ht="23.85" hidden="false" customHeight="false" outlineLevel="0" collapsed="false">
      <c r="A28" s="18" t="n">
        <v>25</v>
      </c>
      <c r="B28" s="19" t="s">
        <v>11</v>
      </c>
      <c r="C28" s="20" t="s">
        <v>76</v>
      </c>
      <c r="D28" s="20" t="s">
        <v>77</v>
      </c>
      <c r="E28" s="21" t="s">
        <v>27</v>
      </c>
    </row>
    <row r="29" customFormat="false" ht="23.85" hidden="false" customHeight="false" outlineLevel="0" collapsed="false">
      <c r="A29" s="22" t="n">
        <v>26</v>
      </c>
      <c r="B29" s="23" t="s">
        <v>11</v>
      </c>
      <c r="C29" s="24" t="s">
        <v>78</v>
      </c>
      <c r="D29" s="24" t="s">
        <v>79</v>
      </c>
      <c r="E29" s="26" t="s">
        <v>38</v>
      </c>
    </row>
    <row r="30" customFormat="false" ht="23.85" hidden="false" customHeight="false" outlineLevel="0" collapsed="false">
      <c r="A30" s="18" t="n">
        <v>27</v>
      </c>
      <c r="B30" s="19" t="s">
        <v>12</v>
      </c>
      <c r="C30" s="20" t="s">
        <v>80</v>
      </c>
      <c r="D30" s="20" t="s">
        <v>81</v>
      </c>
      <c r="E30" s="21" t="s">
        <v>27</v>
      </c>
    </row>
    <row r="31" customFormat="false" ht="23.85" hidden="false" customHeight="false" outlineLevel="0" collapsed="false">
      <c r="A31" s="22" t="n">
        <v>28</v>
      </c>
      <c r="B31" s="23" t="s">
        <v>12</v>
      </c>
      <c r="C31" s="24" t="s">
        <v>82</v>
      </c>
      <c r="D31" s="24" t="s">
        <v>83</v>
      </c>
      <c r="E31" s="26" t="s">
        <v>38</v>
      </c>
    </row>
    <row r="32" customFormat="false" ht="23.85" hidden="false" customHeight="false" outlineLevel="0" collapsed="false">
      <c r="A32" s="18" t="n">
        <v>29</v>
      </c>
      <c r="B32" s="19" t="s">
        <v>12</v>
      </c>
      <c r="C32" s="20" t="s">
        <v>84</v>
      </c>
      <c r="D32" s="20" t="s">
        <v>85</v>
      </c>
      <c r="E32" s="28" t="s">
        <v>38</v>
      </c>
    </row>
    <row r="33" customFormat="false" ht="23.85" hidden="false" customHeight="false" outlineLevel="0" collapsed="false">
      <c r="A33" s="22" t="n">
        <v>30</v>
      </c>
      <c r="B33" s="23" t="s">
        <v>12</v>
      </c>
      <c r="C33" s="24" t="s">
        <v>86</v>
      </c>
      <c r="D33" s="24" t="s">
        <v>87</v>
      </c>
      <c r="E33" s="25" t="s">
        <v>27</v>
      </c>
    </row>
    <row r="34" customFormat="false" ht="23.85" hidden="false" customHeight="false" outlineLevel="0" collapsed="false">
      <c r="A34" s="18" t="n">
        <v>31</v>
      </c>
      <c r="B34" s="19" t="s">
        <v>12</v>
      </c>
      <c r="C34" s="20" t="s">
        <v>88</v>
      </c>
      <c r="D34" s="20" t="s">
        <v>89</v>
      </c>
      <c r="E34" s="28" t="s">
        <v>38</v>
      </c>
    </row>
    <row r="35" customFormat="false" ht="23.85" hidden="false" customHeight="false" outlineLevel="0" collapsed="false">
      <c r="A35" s="22" t="n">
        <v>32</v>
      </c>
      <c r="B35" s="23" t="s">
        <v>13</v>
      </c>
      <c r="C35" s="24" t="s">
        <v>90</v>
      </c>
      <c r="D35" s="24" t="s">
        <v>91</v>
      </c>
      <c r="E35" s="25" t="s">
        <v>27</v>
      </c>
    </row>
    <row r="36" customFormat="false" ht="23.85" hidden="false" customHeight="false" outlineLevel="0" collapsed="false">
      <c r="A36" s="18" t="n">
        <v>33</v>
      </c>
      <c r="B36" s="19" t="s">
        <v>13</v>
      </c>
      <c r="C36" s="20" t="s">
        <v>92</v>
      </c>
      <c r="D36" s="20" t="s">
        <v>93</v>
      </c>
      <c r="E36" s="27" t="s">
        <v>45</v>
      </c>
    </row>
    <row r="37" customFormat="false" ht="23.85" hidden="false" customHeight="false" outlineLevel="0" collapsed="false">
      <c r="A37" s="22" t="n">
        <v>34</v>
      </c>
      <c r="B37" s="23" t="s">
        <v>14</v>
      </c>
      <c r="C37" s="24" t="s">
        <v>94</v>
      </c>
      <c r="D37" s="24" t="s">
        <v>95</v>
      </c>
      <c r="E37" s="25" t="s">
        <v>27</v>
      </c>
    </row>
    <row r="38" customFormat="false" ht="15" hidden="false" customHeight="false" outlineLevel="0" collapsed="false">
      <c r="A38" s="18" t="n">
        <v>35</v>
      </c>
      <c r="B38" s="19" t="s">
        <v>15</v>
      </c>
      <c r="C38" s="20" t="s">
        <v>96</v>
      </c>
      <c r="D38" s="20" t="s">
        <v>97</v>
      </c>
      <c r="E38" s="27" t="s">
        <v>45</v>
      </c>
    </row>
    <row r="39" customFormat="false" ht="23.85" hidden="false" customHeight="false" outlineLevel="0" collapsed="false">
      <c r="A39" s="22" t="n">
        <v>36</v>
      </c>
      <c r="B39" s="23" t="s">
        <v>15</v>
      </c>
      <c r="C39" s="24" t="s">
        <v>98</v>
      </c>
      <c r="D39" s="24" t="s">
        <v>99</v>
      </c>
      <c r="E39" s="25" t="s">
        <v>27</v>
      </c>
    </row>
    <row r="40" customFormat="false" ht="23.85" hidden="false" customHeight="false" outlineLevel="0" collapsed="false">
      <c r="A40" s="18" t="n">
        <v>37</v>
      </c>
      <c r="B40" s="19" t="s">
        <v>15</v>
      </c>
      <c r="C40" s="20" t="s">
        <v>100</v>
      </c>
      <c r="D40" s="20" t="s">
        <v>101</v>
      </c>
      <c r="E40" s="28" t="s">
        <v>38</v>
      </c>
    </row>
    <row r="41" customFormat="false" ht="23.85" hidden="false" customHeight="false" outlineLevel="0" collapsed="false">
      <c r="A41" s="22" t="n">
        <v>38</v>
      </c>
      <c r="B41" s="23" t="s">
        <v>15</v>
      </c>
      <c r="C41" s="24" t="s">
        <v>102</v>
      </c>
      <c r="D41" s="24" t="s">
        <v>103</v>
      </c>
      <c r="E41" s="25" t="s">
        <v>27</v>
      </c>
    </row>
    <row r="42" customFormat="false" ht="23.85" hidden="false" customHeight="false" outlineLevel="0" collapsed="false">
      <c r="A42" s="18" t="n">
        <v>39</v>
      </c>
      <c r="B42" s="19" t="s">
        <v>15</v>
      </c>
      <c r="C42" s="20" t="s">
        <v>104</v>
      </c>
      <c r="D42" s="20" t="s">
        <v>105</v>
      </c>
      <c r="E42" s="28" t="s">
        <v>38</v>
      </c>
    </row>
    <row r="43" customFormat="false" ht="23.85" hidden="false" customHeight="false" outlineLevel="0" collapsed="false">
      <c r="A43" s="22" t="n">
        <v>40</v>
      </c>
      <c r="B43" s="23" t="s">
        <v>15</v>
      </c>
      <c r="C43" s="24" t="s">
        <v>106</v>
      </c>
      <c r="D43" s="24" t="s">
        <v>107</v>
      </c>
      <c r="E43" s="26" t="s">
        <v>38</v>
      </c>
    </row>
    <row r="44" customFormat="false" ht="23.85" hidden="false" customHeight="false" outlineLevel="0" collapsed="false">
      <c r="A44" s="18" t="n">
        <v>41</v>
      </c>
      <c r="B44" s="19" t="s">
        <v>16</v>
      </c>
      <c r="C44" s="20" t="s">
        <v>108</v>
      </c>
      <c r="D44" s="20" t="s">
        <v>109</v>
      </c>
      <c r="E44" s="28" t="s">
        <v>38</v>
      </c>
    </row>
    <row r="45" customFormat="false" ht="15" hidden="false" customHeight="false" outlineLevel="0" collapsed="false">
      <c r="A45" s="22" t="n">
        <v>42</v>
      </c>
      <c r="B45" s="23" t="s">
        <v>16</v>
      </c>
      <c r="C45" s="24" t="s">
        <v>110</v>
      </c>
      <c r="D45" s="24" t="s">
        <v>111</v>
      </c>
      <c r="E45" s="26" t="s">
        <v>38</v>
      </c>
    </row>
    <row r="46" customFormat="false" ht="15" hidden="false" customHeight="false" outlineLevel="0" collapsed="false">
      <c r="A46" s="18" t="n">
        <v>43</v>
      </c>
      <c r="B46" s="19" t="s">
        <v>16</v>
      </c>
      <c r="C46" s="20" t="s">
        <v>112</v>
      </c>
      <c r="D46" s="20" t="s">
        <v>113</v>
      </c>
      <c r="E46" s="28" t="s">
        <v>38</v>
      </c>
    </row>
    <row r="47" customFormat="false" ht="23.85" hidden="false" customHeight="false" outlineLevel="0" collapsed="false">
      <c r="A47" s="22" t="n">
        <v>44</v>
      </c>
      <c r="B47" s="23" t="s">
        <v>16</v>
      </c>
      <c r="C47" s="24" t="s">
        <v>114</v>
      </c>
      <c r="D47" s="24" t="s">
        <v>115</v>
      </c>
      <c r="E47" s="25" t="s">
        <v>27</v>
      </c>
    </row>
    <row r="48" customFormat="false" ht="15" hidden="false" customHeight="false" outlineLevel="0" collapsed="false">
      <c r="A48" s="18" t="n">
        <v>45</v>
      </c>
      <c r="B48" s="19" t="s">
        <v>16</v>
      </c>
      <c r="C48" s="20" t="s">
        <v>116</v>
      </c>
      <c r="D48" s="20" t="s">
        <v>117</v>
      </c>
      <c r="E48" s="28" t="s">
        <v>38</v>
      </c>
    </row>
    <row r="49" customFormat="false" ht="15" hidden="false" customHeight="false" outlineLevel="0" collapsed="false">
      <c r="A49" s="22" t="n">
        <v>46</v>
      </c>
      <c r="B49" s="23" t="s">
        <v>16</v>
      </c>
      <c r="C49" s="24" t="s">
        <v>118</v>
      </c>
      <c r="D49" s="24" t="s">
        <v>119</v>
      </c>
      <c r="E49" s="26" t="s">
        <v>38</v>
      </c>
    </row>
    <row r="50" customFormat="false" ht="23.85" hidden="false" customHeight="false" outlineLevel="0" collapsed="false">
      <c r="A50" s="18" t="n">
        <v>47</v>
      </c>
      <c r="B50" s="19" t="s">
        <v>16</v>
      </c>
      <c r="C50" s="20" t="s">
        <v>120</v>
      </c>
      <c r="D50" s="20" t="s">
        <v>121</v>
      </c>
      <c r="E50" s="27" t="s">
        <v>45</v>
      </c>
    </row>
    <row r="51" customFormat="false" ht="23.85" hidden="false" customHeight="false" outlineLevel="0" collapsed="false">
      <c r="A51" s="22" t="n">
        <v>48</v>
      </c>
      <c r="B51" s="23" t="s">
        <v>16</v>
      </c>
      <c r="C51" s="24" t="s">
        <v>122</v>
      </c>
      <c r="D51" s="24" t="s">
        <v>123</v>
      </c>
      <c r="E51" s="26" t="s">
        <v>38</v>
      </c>
    </row>
    <row r="52" customFormat="false" ht="15" hidden="false" customHeight="false" outlineLevel="0" collapsed="false">
      <c r="A52" s="18" t="n">
        <v>49</v>
      </c>
      <c r="B52" s="19" t="s">
        <v>16</v>
      </c>
      <c r="C52" s="20" t="s">
        <v>124</v>
      </c>
      <c r="D52" s="20" t="s">
        <v>125</v>
      </c>
      <c r="E52" s="28" t="s">
        <v>38</v>
      </c>
    </row>
    <row r="53" customFormat="false" ht="15" hidden="false" customHeight="false" outlineLevel="0" collapsed="false">
      <c r="A53" s="22" t="n">
        <v>50</v>
      </c>
      <c r="B53" s="23" t="s">
        <v>16</v>
      </c>
      <c r="C53" s="24" t="s">
        <v>126</v>
      </c>
      <c r="D53" s="24" t="s">
        <v>127</v>
      </c>
      <c r="E53" s="26" t="s">
        <v>38</v>
      </c>
    </row>
    <row r="54" customFormat="false" ht="15" hidden="false" customHeight="false" outlineLevel="0" collapsed="false">
      <c r="A54" s="18" t="n">
        <v>51</v>
      </c>
      <c r="B54" s="19" t="s">
        <v>16</v>
      </c>
      <c r="C54" s="20" t="s">
        <v>128</v>
      </c>
      <c r="D54" s="20" t="s">
        <v>129</v>
      </c>
      <c r="E54" s="28" t="s">
        <v>38</v>
      </c>
    </row>
    <row r="55" customFormat="false" ht="15" hidden="false" customHeight="false" outlineLevel="0" collapsed="false">
      <c r="A55" s="22" t="n">
        <v>52</v>
      </c>
      <c r="B55" s="23" t="s">
        <v>16</v>
      </c>
      <c r="C55" s="24" t="s">
        <v>130</v>
      </c>
      <c r="D55" s="24" t="s">
        <v>131</v>
      </c>
      <c r="E55" s="25" t="s">
        <v>27</v>
      </c>
    </row>
    <row r="56" customFormat="false" ht="23.85" hidden="false" customHeight="false" outlineLevel="0" collapsed="false">
      <c r="A56" s="18" t="n">
        <v>53</v>
      </c>
      <c r="B56" s="19" t="s">
        <v>16</v>
      </c>
      <c r="C56" s="20" t="s">
        <v>132</v>
      </c>
      <c r="D56" s="20" t="s">
        <v>133</v>
      </c>
      <c r="E56" s="28" t="s">
        <v>38</v>
      </c>
    </row>
    <row r="57" customFormat="false" ht="23.85" hidden="false" customHeight="false" outlineLevel="0" collapsed="false">
      <c r="A57" s="22" t="n">
        <v>54</v>
      </c>
      <c r="B57" s="23" t="s">
        <v>16</v>
      </c>
      <c r="C57" s="24" t="s">
        <v>134</v>
      </c>
      <c r="D57" s="24" t="s">
        <v>135</v>
      </c>
      <c r="E57" s="25" t="s">
        <v>27</v>
      </c>
    </row>
    <row r="58" customFormat="false" ht="15" hidden="false" customHeight="false" outlineLevel="0" collapsed="false">
      <c r="A58" s="18" t="n">
        <v>55</v>
      </c>
      <c r="B58" s="19" t="s">
        <v>16</v>
      </c>
      <c r="C58" s="20" t="s">
        <v>136</v>
      </c>
      <c r="D58" s="20" t="s">
        <v>137</v>
      </c>
      <c r="E58" s="28" t="s">
        <v>38</v>
      </c>
    </row>
    <row r="59" customFormat="false" ht="23.85" hidden="false" customHeight="false" outlineLevel="0" collapsed="false">
      <c r="A59" s="22" t="n">
        <v>56</v>
      </c>
      <c r="B59" s="23" t="s">
        <v>16</v>
      </c>
      <c r="C59" s="24" t="s">
        <v>138</v>
      </c>
      <c r="D59" s="24" t="s">
        <v>139</v>
      </c>
      <c r="E59" s="26" t="s">
        <v>38</v>
      </c>
    </row>
    <row r="60" customFormat="false" ht="23.85" hidden="false" customHeight="false" outlineLevel="0" collapsed="false">
      <c r="A60" s="18" t="n">
        <v>57</v>
      </c>
      <c r="B60" s="19" t="s">
        <v>16</v>
      </c>
      <c r="C60" s="20" t="s">
        <v>140</v>
      </c>
      <c r="D60" s="20" t="s">
        <v>141</v>
      </c>
      <c r="E60" s="28" t="s">
        <v>38</v>
      </c>
    </row>
    <row r="61" customFormat="false" ht="23.85" hidden="false" customHeight="false" outlineLevel="0" collapsed="false">
      <c r="A61" s="22" t="n">
        <v>58</v>
      </c>
      <c r="B61" s="23" t="s">
        <v>16</v>
      </c>
      <c r="C61" s="24" t="s">
        <v>142</v>
      </c>
      <c r="D61" s="24" t="s">
        <v>143</v>
      </c>
      <c r="E61" s="25" t="s">
        <v>27</v>
      </c>
    </row>
    <row r="62" customFormat="false" ht="23.85" hidden="false" customHeight="false" outlineLevel="0" collapsed="false">
      <c r="A62" s="18" t="n">
        <v>59</v>
      </c>
      <c r="B62" s="19" t="s">
        <v>16</v>
      </c>
      <c r="C62" s="20" t="s">
        <v>144</v>
      </c>
      <c r="D62" s="20" t="s">
        <v>145</v>
      </c>
      <c r="E62" s="28" t="s">
        <v>38</v>
      </c>
    </row>
    <row r="63" customFormat="false" ht="23.85" hidden="false" customHeight="false" outlineLevel="0" collapsed="false">
      <c r="A63" s="22" t="n">
        <v>60</v>
      </c>
      <c r="B63" s="23" t="s">
        <v>16</v>
      </c>
      <c r="C63" s="24" t="s">
        <v>146</v>
      </c>
      <c r="D63" s="24" t="s">
        <v>147</v>
      </c>
      <c r="E63" s="26" t="s">
        <v>38</v>
      </c>
    </row>
    <row r="64" customFormat="false" ht="23.85" hidden="false" customHeight="false" outlineLevel="0" collapsed="false">
      <c r="A64" s="18" t="n">
        <v>61</v>
      </c>
      <c r="B64" s="19" t="s">
        <v>16</v>
      </c>
      <c r="C64" s="20" t="s">
        <v>148</v>
      </c>
      <c r="D64" s="20" t="s">
        <v>149</v>
      </c>
      <c r="E64" s="21" t="s">
        <v>27</v>
      </c>
    </row>
    <row r="65" customFormat="false" ht="23.85" hidden="false" customHeight="false" outlineLevel="0" collapsed="false">
      <c r="A65" s="22" t="n">
        <v>62</v>
      </c>
      <c r="B65" s="23" t="s">
        <v>16</v>
      </c>
      <c r="C65" s="24" t="s">
        <v>150</v>
      </c>
      <c r="D65" s="24" t="s">
        <v>151</v>
      </c>
      <c r="E65" s="26" t="s">
        <v>38</v>
      </c>
    </row>
    <row r="66" customFormat="false" ht="23.85" hidden="false" customHeight="false" outlineLevel="0" collapsed="false">
      <c r="A66" s="18" t="n">
        <v>63</v>
      </c>
      <c r="B66" s="19" t="s">
        <v>17</v>
      </c>
      <c r="C66" s="20" t="s">
        <v>152</v>
      </c>
      <c r="D66" s="20" t="s">
        <v>153</v>
      </c>
      <c r="E66" s="28" t="s">
        <v>38</v>
      </c>
    </row>
    <row r="67" customFormat="false" ht="15" hidden="false" customHeight="false" outlineLevel="0" collapsed="false">
      <c r="A67" s="22" t="n">
        <v>64</v>
      </c>
      <c r="B67" s="23" t="s">
        <v>17</v>
      </c>
      <c r="C67" s="24" t="s">
        <v>154</v>
      </c>
      <c r="D67" s="24" t="s">
        <v>155</v>
      </c>
      <c r="E67" s="26" t="s">
        <v>38</v>
      </c>
    </row>
    <row r="68" customFormat="false" ht="15" hidden="false" customHeight="false" outlineLevel="0" collapsed="false">
      <c r="A68" s="18" t="n">
        <v>65</v>
      </c>
      <c r="B68" s="19" t="s">
        <v>17</v>
      </c>
      <c r="C68" s="20" t="s">
        <v>156</v>
      </c>
      <c r="D68" s="20" t="s">
        <v>157</v>
      </c>
      <c r="E68" s="21" t="s">
        <v>27</v>
      </c>
    </row>
    <row r="69" customFormat="false" ht="15" hidden="false" customHeight="false" outlineLevel="0" collapsed="false">
      <c r="A69" s="22" t="n">
        <v>66</v>
      </c>
      <c r="B69" s="23" t="s">
        <v>17</v>
      </c>
      <c r="C69" s="24" t="s">
        <v>158</v>
      </c>
      <c r="D69" s="24" t="s">
        <v>159</v>
      </c>
      <c r="E69" s="25" t="s">
        <v>27</v>
      </c>
    </row>
    <row r="70" customFormat="false" ht="23.85" hidden="false" customHeight="false" outlineLevel="0" collapsed="false">
      <c r="A70" s="18" t="n">
        <v>67</v>
      </c>
      <c r="B70" s="19" t="s">
        <v>17</v>
      </c>
      <c r="C70" s="20" t="s">
        <v>160</v>
      </c>
      <c r="D70" s="20" t="s">
        <v>161</v>
      </c>
      <c r="E70" s="21" t="s">
        <v>27</v>
      </c>
    </row>
    <row r="71" customFormat="false" ht="15" hidden="false" customHeight="false" outlineLevel="0" collapsed="false">
      <c r="A71" s="22" t="n">
        <v>68</v>
      </c>
      <c r="B71" s="23" t="s">
        <v>17</v>
      </c>
      <c r="C71" s="24" t="s">
        <v>162</v>
      </c>
      <c r="D71" s="24" t="s">
        <v>163</v>
      </c>
      <c r="E71" s="25" t="s">
        <v>27</v>
      </c>
    </row>
    <row r="72" customFormat="false" ht="15" hidden="false" customHeight="false" outlineLevel="0" collapsed="false">
      <c r="A72" s="18" t="n">
        <v>69</v>
      </c>
      <c r="B72" s="19" t="s">
        <v>17</v>
      </c>
      <c r="C72" s="20" t="s">
        <v>164</v>
      </c>
      <c r="D72" s="20" t="s">
        <v>165</v>
      </c>
      <c r="E72" s="28" t="s">
        <v>38</v>
      </c>
    </row>
    <row r="73" customFormat="false" ht="15" hidden="false" customHeight="false" outlineLevel="0" collapsed="false">
      <c r="A73" s="22" t="n">
        <v>70</v>
      </c>
      <c r="B73" s="23" t="s">
        <v>17</v>
      </c>
      <c r="C73" s="24" t="s">
        <v>166</v>
      </c>
      <c r="D73" s="24" t="s">
        <v>167</v>
      </c>
      <c r="E73" s="25" t="s">
        <v>27</v>
      </c>
    </row>
    <row r="74" customFormat="false" ht="15" hidden="false" customHeight="false" outlineLevel="0" collapsed="false">
      <c r="A74" s="18" t="n">
        <v>71</v>
      </c>
      <c r="B74" s="19" t="s">
        <v>17</v>
      </c>
      <c r="C74" s="20" t="s">
        <v>168</v>
      </c>
      <c r="D74" s="20" t="s">
        <v>169</v>
      </c>
      <c r="E74" s="28" t="s">
        <v>38</v>
      </c>
    </row>
    <row r="75" customFormat="false" ht="15" hidden="false" customHeight="false" outlineLevel="0" collapsed="false">
      <c r="A75" s="22" t="n">
        <v>72</v>
      </c>
      <c r="B75" s="23" t="s">
        <v>17</v>
      </c>
      <c r="C75" s="24" t="s">
        <v>170</v>
      </c>
      <c r="D75" s="24" t="s">
        <v>171</v>
      </c>
      <c r="E75" s="25" t="s">
        <v>27</v>
      </c>
    </row>
    <row r="76" customFormat="false" ht="15" hidden="false" customHeight="false" outlineLevel="0" collapsed="false">
      <c r="A76" s="18" t="n">
        <v>73</v>
      </c>
      <c r="B76" s="19" t="s">
        <v>17</v>
      </c>
      <c r="C76" s="20" t="s">
        <v>172</v>
      </c>
      <c r="D76" s="20" t="s">
        <v>173</v>
      </c>
      <c r="E76" s="21" t="s">
        <v>27</v>
      </c>
    </row>
    <row r="77" customFormat="false" ht="15" hidden="false" customHeight="false" outlineLevel="0" collapsed="false">
      <c r="A77" s="22" t="n">
        <v>74</v>
      </c>
      <c r="B77" s="23" t="s">
        <v>17</v>
      </c>
      <c r="C77" s="24" t="s">
        <v>174</v>
      </c>
      <c r="D77" s="24" t="s">
        <v>175</v>
      </c>
      <c r="E77" s="25" t="s">
        <v>27</v>
      </c>
    </row>
    <row r="78" customFormat="false" ht="15" hidden="false" customHeight="false" outlineLevel="0" collapsed="false">
      <c r="A78" s="18" t="n">
        <v>75</v>
      </c>
      <c r="B78" s="19" t="s">
        <v>17</v>
      </c>
      <c r="C78" s="20" t="s">
        <v>176</v>
      </c>
      <c r="D78" s="20" t="s">
        <v>177</v>
      </c>
      <c r="E78" s="21" t="s">
        <v>27</v>
      </c>
    </row>
    <row r="79" customFormat="false" ht="23.85" hidden="false" customHeight="false" outlineLevel="0" collapsed="false">
      <c r="A79" s="22" t="n">
        <v>76</v>
      </c>
      <c r="B79" s="23" t="s">
        <v>17</v>
      </c>
      <c r="C79" s="24" t="s">
        <v>178</v>
      </c>
      <c r="D79" s="24" t="s">
        <v>179</v>
      </c>
      <c r="E79" s="26" t="s">
        <v>38</v>
      </c>
    </row>
    <row r="80" customFormat="false" ht="35.05" hidden="false" customHeight="false" outlineLevel="0" collapsed="false">
      <c r="A80" s="18" t="n">
        <v>77</v>
      </c>
      <c r="B80" s="19" t="s">
        <v>17</v>
      </c>
      <c r="C80" s="20" t="s">
        <v>180</v>
      </c>
      <c r="D80" s="20" t="s">
        <v>181</v>
      </c>
      <c r="E80" s="21" t="s">
        <v>27</v>
      </c>
    </row>
    <row r="81" customFormat="false" ht="23.85" hidden="false" customHeight="false" outlineLevel="0" collapsed="false">
      <c r="A81" s="22" t="n">
        <v>78</v>
      </c>
      <c r="B81" s="23" t="s">
        <v>17</v>
      </c>
      <c r="C81" s="24" t="s">
        <v>182</v>
      </c>
      <c r="D81" s="24" t="s">
        <v>183</v>
      </c>
      <c r="E81" s="25" t="s">
        <v>27</v>
      </c>
    </row>
    <row r="82" customFormat="false" ht="23.85" hidden="false" customHeight="false" outlineLevel="0" collapsed="false">
      <c r="A82" s="18" t="n">
        <v>79</v>
      </c>
      <c r="B82" s="19" t="s">
        <v>17</v>
      </c>
      <c r="C82" s="20" t="s">
        <v>184</v>
      </c>
      <c r="D82" s="20" t="s">
        <v>185</v>
      </c>
      <c r="E82" s="21" t="s">
        <v>27</v>
      </c>
    </row>
    <row r="83" customFormat="false" ht="23.85" hidden="false" customHeight="false" outlineLevel="0" collapsed="false">
      <c r="A83" s="22" t="n">
        <v>80</v>
      </c>
      <c r="B83" s="23" t="s">
        <v>17</v>
      </c>
      <c r="C83" s="24" t="s">
        <v>186</v>
      </c>
      <c r="D83" s="24" t="s">
        <v>187</v>
      </c>
      <c r="E83" s="25" t="s">
        <v>27</v>
      </c>
    </row>
    <row r="84" customFormat="false" ht="15" hidden="false" customHeight="false" outlineLevel="0" collapsed="false">
      <c r="A84" s="18" t="n">
        <v>81</v>
      </c>
      <c r="B84" s="19" t="s">
        <v>17</v>
      </c>
      <c r="C84" s="20" t="s">
        <v>188</v>
      </c>
      <c r="D84" s="20" t="s">
        <v>189</v>
      </c>
      <c r="E84" s="27" t="s">
        <v>45</v>
      </c>
    </row>
    <row r="85" customFormat="false" ht="15" hidden="false" customHeight="false" outlineLevel="0" collapsed="false">
      <c r="A85" s="22" t="n">
        <v>82</v>
      </c>
      <c r="B85" s="23" t="s">
        <v>17</v>
      </c>
      <c r="C85" s="24" t="s">
        <v>190</v>
      </c>
      <c r="D85" s="24" t="s">
        <v>191</v>
      </c>
      <c r="E85" s="26" t="s">
        <v>38</v>
      </c>
    </row>
    <row r="87" customFormat="false" ht="15" hidden="false" customHeight="false" outlineLevel="0" collapsed="false">
      <c r="A87" s="29" t="s">
        <v>192</v>
      </c>
      <c r="B87" s="29"/>
      <c r="C87" s="30" t="n">
        <f aca="false">COUNTA(C4:C85)</f>
        <v>82</v>
      </c>
    </row>
    <row r="89" customFormat="false" ht="15" hidden="false" customHeight="false" outlineLevel="0" collapsed="false">
      <c r="A89" s="16" t="s">
        <v>19</v>
      </c>
    </row>
  </sheetData>
  <mergeCells count="2">
    <mergeCell ref="A1:E1"/>
    <mergeCell ref="A87:B8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2026-09-18T12:15:47Z</dcterms:created>
  <dc:creator>VAYUZ Technologies, Noida</dc:creator>
  <dc:description/>
  <dc:language>en-US</dc:language>
  <cp:lastModifiedBy>Unknown</cp:lastModifiedBy>
  <dcterms:modified xsi:type="dcterms:W3CDTF">2026-09-18T12:15:47Z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